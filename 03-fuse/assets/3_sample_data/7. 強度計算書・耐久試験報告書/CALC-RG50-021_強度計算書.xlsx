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強度計算書" sheetId="1" state="visible" r:id="rId3"/>
  </sheets>
  <definedNames>
    <definedName function="false" hidden="false" localSheetId="0" name="_xlnm.Print_Area" vbProcedure="false">強度計算書!$A$1:$J$47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<sst xmlns="http://schemas.openxmlformats.org/spreadsheetml/2006/main" count="105" uniqueCount="97">
  <si>
    <r>
      <rPr>
        <b val="true"/>
        <sz val="15"/>
        <rFont val="Yu Gothic"/>
        <family val="0"/>
        <charset val="1"/>
      </rPr>
      <t xml:space="preserve">EGL </t>
    </r>
    <r>
      <rPr>
        <b val="true"/>
        <sz val="15"/>
        <rFont val="Noto Sans CJK SC"/>
        <family val="2"/>
      </rPr>
      <t xml:space="preserve">ギア株式会社</t>
    </r>
  </si>
  <si>
    <t xml:space="preserve">歯 車 強 度 計 算 書</t>
  </si>
  <si>
    <t xml:space="preserve">EGL GEAR CO., LTD.</t>
  </si>
  <si>
    <t xml:space="preserve">文書番号</t>
  </si>
  <si>
    <t xml:space="preserve">CALC-RG50-021</t>
  </si>
  <si>
    <t xml:space="preserve">対象型式</t>
  </si>
  <si>
    <t xml:space="preserve">RG-50</t>
  </si>
  <si>
    <t xml:space="preserve">計算対象</t>
  </si>
  <si>
    <r>
      <rPr>
        <sz val="9"/>
        <rFont val="Noto Sans CJK SC"/>
        <family val="2"/>
      </rPr>
      <t xml:space="preserve">駆動・被動歯車（</t>
    </r>
    <r>
      <rPr>
        <sz val="9"/>
        <rFont val="Yu Gothic"/>
        <family val="0"/>
        <charset val="1"/>
      </rPr>
      <t xml:space="preserve">GR-204/GR-205</t>
    </r>
    <r>
      <rPr>
        <sz val="9"/>
        <rFont val="Noto Sans CJK SC"/>
        <family val="2"/>
      </rPr>
      <t xml:space="preserve">）</t>
    </r>
  </si>
  <si>
    <t xml:space="preserve">規格</t>
  </si>
  <si>
    <t xml:space="preserve">JIS B 1701-1/2</t>
  </si>
  <si>
    <t xml:space="preserve">計算者</t>
  </si>
  <si>
    <t xml:space="preserve">兵頭</t>
  </si>
  <si>
    <t xml:space="preserve">計算日</t>
  </si>
  <si>
    <t xml:space="preserve">2021-06-22</t>
  </si>
  <si>
    <t xml:space="preserve">承認</t>
  </si>
  <si>
    <t xml:space="preserve">李</t>
  </si>
  <si>
    <t xml:space="preserve">改訂</t>
  </si>
  <si>
    <r>
      <rPr>
        <sz val="9"/>
        <rFont val="Yu Gothic"/>
        <family val="0"/>
        <charset val="1"/>
      </rPr>
      <t xml:space="preserve">Rev.1</t>
    </r>
    <r>
      <rPr>
        <sz val="9"/>
        <rFont val="Noto Sans CJK SC"/>
        <family val="2"/>
      </rPr>
      <t xml:space="preserve">（</t>
    </r>
    <r>
      <rPr>
        <sz val="9"/>
        <rFont val="Yu Gothic"/>
        <family val="0"/>
        <charset val="1"/>
      </rPr>
      <t xml:space="preserve">2022-09 </t>
    </r>
    <r>
      <rPr>
        <sz val="9"/>
        <rFont val="Noto Sans CJK SC"/>
        <family val="2"/>
      </rPr>
      <t xml:space="preserve">起動時係数 追加）</t>
    </r>
  </si>
  <si>
    <r>
      <rPr>
        <b val="true"/>
        <sz val="9.5"/>
        <rFont val="Yu Gothic"/>
        <family val="0"/>
        <charset val="1"/>
      </rPr>
      <t xml:space="preserve">1. </t>
    </r>
    <r>
      <rPr>
        <b val="true"/>
        <sz val="9.5"/>
        <rFont val="Noto Sans CJK SC"/>
        <family val="2"/>
      </rPr>
      <t xml:space="preserve">入力条件</t>
    </r>
  </si>
  <si>
    <t xml:space="preserve">伝達動力</t>
  </si>
  <si>
    <t xml:space="preserve">P</t>
  </si>
  <si>
    <t xml:space="preserve">kW</t>
  </si>
  <si>
    <r>
      <rPr>
        <sz val="8"/>
        <rFont val="Noto Sans CJK SC"/>
        <family val="2"/>
      </rPr>
      <t xml:space="preserve">出力</t>
    </r>
    <r>
      <rPr>
        <sz val="8"/>
        <rFont val="Yu Gothic"/>
        <family val="0"/>
        <charset val="1"/>
      </rPr>
      <t xml:space="preserve">15.7kW</t>
    </r>
  </si>
  <si>
    <t xml:space="preserve">入力回転数</t>
  </si>
  <si>
    <t xml:space="preserve">n1</t>
  </si>
  <si>
    <t xml:space="preserve">min-1</t>
  </si>
  <si>
    <t xml:space="preserve">モジュール</t>
  </si>
  <si>
    <t xml:space="preserve">m</t>
  </si>
  <si>
    <t xml:space="preserve">mm</t>
  </si>
  <si>
    <t xml:space="preserve">歯数（駆動）</t>
  </si>
  <si>
    <t xml:space="preserve">z1</t>
  </si>
  <si>
    <t xml:space="preserve">危険側＝小歯車</t>
  </si>
  <si>
    <t xml:space="preserve">歯幅</t>
  </si>
  <si>
    <t xml:space="preserve">b</t>
  </si>
  <si>
    <r>
      <rPr>
        <sz val="9"/>
        <rFont val="Noto Sans CJK SC"/>
        <family val="2"/>
      </rPr>
      <t xml:space="preserve">基準ピッチ円直径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駆動</t>
    </r>
    <r>
      <rPr>
        <sz val="9"/>
        <rFont val="Yu Gothic"/>
        <family val="0"/>
        <charset val="1"/>
      </rPr>
      <t xml:space="preserve">)</t>
    </r>
  </si>
  <si>
    <t xml:space="preserve">d1</t>
  </si>
  <si>
    <t xml:space="preserve">d1=m·z1</t>
  </si>
  <si>
    <t xml:space="preserve">歯元すみ肉半径</t>
  </si>
  <si>
    <t xml:space="preserve">ρf</t>
  </si>
  <si>
    <r>
      <rPr>
        <sz val="8"/>
        <rFont val="Yu Gothic"/>
        <family val="0"/>
        <charset val="1"/>
      </rPr>
      <t xml:space="preserve">0.38m</t>
    </r>
    <r>
      <rPr>
        <sz val="8"/>
        <rFont val="Noto Sans CJK SC"/>
        <family val="2"/>
      </rPr>
      <t xml:space="preserve">（現行）</t>
    </r>
  </si>
  <si>
    <r>
      <rPr>
        <b val="true"/>
        <sz val="9.5"/>
        <rFont val="Yu Gothic"/>
        <family val="0"/>
        <charset val="1"/>
      </rPr>
      <t xml:space="preserve">2. </t>
    </r>
    <r>
      <rPr>
        <b val="true"/>
        <sz val="9.5"/>
        <rFont val="Noto Sans CJK SC"/>
        <family val="2"/>
      </rPr>
      <t xml:space="preserve">接線力・補正係数</t>
    </r>
  </si>
  <si>
    <r>
      <rPr>
        <sz val="9"/>
        <rFont val="Noto Sans CJK SC"/>
        <family val="2"/>
      </rPr>
      <t xml:space="preserve">定格トルク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駆動軸</t>
    </r>
    <r>
      <rPr>
        <sz val="9"/>
        <rFont val="Yu Gothic"/>
        <family val="0"/>
        <charset val="1"/>
      </rPr>
      <t xml:space="preserve">)</t>
    </r>
  </si>
  <si>
    <t xml:space="preserve">T1</t>
  </si>
  <si>
    <t xml:space="preserve">N·m</t>
  </si>
  <si>
    <t xml:space="preserve">T1=9550·P/n1</t>
  </si>
  <si>
    <t xml:space="preserve">接線力</t>
  </si>
  <si>
    <t xml:space="preserve">Ft</t>
  </si>
  <si>
    <t xml:space="preserve">N</t>
  </si>
  <si>
    <t xml:space="preserve">Ft=2000·T1/d1</t>
  </si>
  <si>
    <t xml:space="preserve">過負荷係数</t>
  </si>
  <si>
    <t xml:space="preserve">KA</t>
  </si>
  <si>
    <t xml:space="preserve">一様衝撃</t>
  </si>
  <si>
    <t xml:space="preserve">動荷重係数</t>
  </si>
  <si>
    <t xml:space="preserve">KV</t>
  </si>
  <si>
    <r>
      <rPr>
        <sz val="8"/>
        <rFont val="Noto Sans CJK SC"/>
        <family val="2"/>
      </rPr>
      <t xml:space="preserve">精度</t>
    </r>
    <r>
      <rPr>
        <sz val="8"/>
        <rFont val="Yu Gothic"/>
        <family val="0"/>
        <charset val="1"/>
      </rPr>
      <t xml:space="preserve">N8</t>
    </r>
    <r>
      <rPr>
        <sz val="8"/>
        <rFont val="Noto Sans CJK SC"/>
        <family val="2"/>
      </rPr>
      <t xml:space="preserve">相当</t>
    </r>
  </si>
  <si>
    <t xml:space="preserve">起動時ピーク係数</t>
  </si>
  <si>
    <t xml:space="preserve">Ks</t>
  </si>
  <si>
    <r>
      <rPr>
        <sz val="8"/>
        <rFont val="Yu Gothic"/>
        <family val="0"/>
        <charset val="1"/>
      </rPr>
      <t xml:space="preserve">Rev.1</t>
    </r>
    <r>
      <rPr>
        <sz val="8"/>
        <rFont val="Noto Sans CJK SC"/>
        <family val="2"/>
      </rPr>
      <t xml:space="preserve">追加（初版</t>
    </r>
    <r>
      <rPr>
        <sz val="8"/>
        <rFont val="Yu Gothic"/>
        <family val="0"/>
        <charset val="1"/>
      </rPr>
      <t xml:space="preserve">=1.00</t>
    </r>
    <r>
      <rPr>
        <sz val="8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</si>
  <si>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歯形係数</t>
    </r>
    <r>
      <rPr>
        <sz val="9"/>
        <rFont val="Yu Gothic"/>
        <family val="0"/>
        <charset val="1"/>
      </rPr>
      <t xml:space="preserve">(</t>
    </r>
    <r>
      <rPr>
        <sz val="9"/>
        <rFont val="Noto Sans CJK SC"/>
        <family val="2"/>
      </rPr>
      <t xml:space="preserve">駆動</t>
    </r>
    <r>
      <rPr>
        <sz val="9"/>
        <rFont val="Yu Gothic"/>
        <family val="0"/>
        <charset val="1"/>
      </rPr>
      <t xml:space="preserve">)</t>
    </r>
  </si>
  <si>
    <t xml:space="preserve">YF</t>
  </si>
  <si>
    <r>
      <rPr>
        <sz val="8"/>
        <rFont val="Yu Gothic"/>
        <family val="0"/>
        <charset val="1"/>
      </rPr>
      <t xml:space="preserve">z=20,α20° JIS</t>
    </r>
    <r>
      <rPr>
        <sz val="8"/>
        <rFont val="Noto Sans CJK SC"/>
        <family val="2"/>
      </rPr>
      <t xml:space="preserve">図表</t>
    </r>
  </si>
  <si>
    <t xml:space="preserve">応力修正係数</t>
  </si>
  <si>
    <t xml:space="preserve">Ys</t>
  </si>
  <si>
    <r>
      <rPr>
        <sz val="8"/>
        <rFont val="Yu Gothic"/>
        <family val="0"/>
        <charset val="1"/>
      </rPr>
      <t xml:space="preserve">ρf</t>
    </r>
    <r>
      <rPr>
        <sz val="8"/>
        <rFont val="Noto Sans CJK SC"/>
        <family val="2"/>
      </rPr>
      <t xml:space="preserve">依存（</t>
    </r>
    <r>
      <rPr>
        <sz val="8"/>
        <rFont val="Yu Gothic"/>
        <family val="0"/>
        <charset val="1"/>
      </rPr>
      <t xml:space="preserve">R</t>
    </r>
    <r>
      <rPr>
        <sz val="8"/>
        <rFont val="Noto Sans CJK SC"/>
        <family val="2"/>
      </rPr>
      <t xml:space="preserve">小</t>
    </r>
    <r>
      <rPr>
        <sz val="8"/>
        <rFont val="Yu Gothic"/>
        <family val="0"/>
        <charset val="1"/>
      </rPr>
      <t xml:space="preserve">=</t>
    </r>
    <r>
      <rPr>
        <sz val="8"/>
        <rFont val="Noto Sans CJK SC"/>
        <family val="2"/>
      </rPr>
      <t xml:space="preserve">大）</t>
    </r>
  </si>
  <si>
    <t xml:space="preserve">かみあい率係数</t>
  </si>
  <si>
    <t xml:space="preserve">Yε</t>
  </si>
  <si>
    <r>
      <rPr>
        <b val="true"/>
        <sz val="9.5"/>
        <rFont val="Yu Gothic"/>
        <family val="0"/>
        <charset val="1"/>
      </rPr>
      <t xml:space="preserve">3. </t>
    </r>
    <r>
      <rPr>
        <b val="true"/>
        <sz val="9.5"/>
        <rFont val="Noto Sans CJK SC"/>
        <family val="2"/>
      </rPr>
      <t xml:space="preserve">歯元曲げ強さ（駆動歯車＝危険側）</t>
    </r>
  </si>
  <si>
    <t xml:space="preserve">発生歯元応力</t>
  </si>
  <si>
    <t xml:space="preserve">σF</t>
  </si>
  <si>
    <t xml:space="preserve">MPa</t>
  </si>
  <si>
    <t xml:space="preserve">σF=Ft/(b·m)·YF·Ys·Yε·KA·KV·Ks</t>
  </si>
  <si>
    <t xml:space="preserve">許容歯元応力</t>
  </si>
  <si>
    <t xml:space="preserve">σFlim</t>
  </si>
  <si>
    <r>
      <rPr>
        <sz val="8"/>
        <rFont val="Yu Gothic"/>
        <family val="0"/>
        <charset val="1"/>
      </rPr>
      <t xml:space="preserve">SCM440</t>
    </r>
    <r>
      <rPr>
        <sz val="8"/>
        <rFont val="Noto Sans CJK SC"/>
        <family val="2"/>
      </rPr>
      <t xml:space="preserve">浸炭 歯元</t>
    </r>
    <r>
      <rPr>
        <sz val="8"/>
        <rFont val="Yu Gothic"/>
        <family val="0"/>
        <charset val="1"/>
      </rPr>
      <t xml:space="preserve">(</t>
    </r>
    <r>
      <rPr>
        <sz val="8"/>
        <rFont val="Noto Sans CJK SC"/>
        <family val="2"/>
      </rPr>
      <t xml:space="preserve">安全率込</t>
    </r>
    <r>
      <rPr>
        <sz val="8"/>
        <rFont val="Yu Gothic"/>
        <family val="0"/>
        <charset val="1"/>
      </rPr>
      <t xml:space="preserve">)</t>
    </r>
  </si>
  <si>
    <t xml:space="preserve">曲げ安全率</t>
  </si>
  <si>
    <t xml:space="preserve">SF</t>
  </si>
  <si>
    <t xml:space="preserve">必要安全率</t>
  </si>
  <si>
    <t xml:space="preserve">≧ 1.20</t>
  </si>
  <si>
    <t xml:space="preserve">判定</t>
  </si>
  <si>
    <r>
      <rPr>
        <sz val="8"/>
        <rFont val="Noto Sans CJK SC"/>
        <family val="2"/>
      </rPr>
      <t xml:space="preserve">※ 余裕は大きくない。トルク増には注意（</t>
    </r>
    <r>
      <rPr>
        <sz val="8"/>
        <rFont val="Yu Gothic"/>
        <family val="0"/>
        <charset val="1"/>
      </rPr>
      <t xml:space="preserve">TM-2021-007</t>
    </r>
    <r>
      <rPr>
        <sz val="8"/>
        <rFont val="Noto Sans CJK SC"/>
        <family val="2"/>
      </rPr>
      <t xml:space="preserve">）</t>
    </r>
  </si>
  <si>
    <r>
      <rPr>
        <b val="true"/>
        <sz val="9.5"/>
        <rFont val="Yu Gothic"/>
        <family val="0"/>
        <charset val="1"/>
      </rPr>
      <t xml:space="preserve">4. </t>
    </r>
    <r>
      <rPr>
        <b val="true"/>
        <sz val="9.5"/>
        <rFont val="Noto Sans CJK SC"/>
        <family val="2"/>
      </rPr>
      <t xml:space="preserve">歯面強さ（点食）</t>
    </r>
  </si>
  <si>
    <t xml:space="preserve">発生接触応力</t>
  </si>
  <si>
    <t xml:space="preserve">σH</t>
  </si>
  <si>
    <t xml:space="preserve">ヘルツ応力（概算）</t>
  </si>
  <si>
    <t xml:space="preserve">許容接触応力</t>
  </si>
  <si>
    <t xml:space="preserve">σHlim</t>
  </si>
  <si>
    <r>
      <rPr>
        <sz val="8"/>
        <rFont val="Yu Gothic"/>
        <family val="0"/>
        <charset val="1"/>
      </rPr>
      <t xml:space="preserve">SCM440</t>
    </r>
    <r>
      <rPr>
        <sz val="8"/>
        <rFont val="Noto Sans CJK SC"/>
        <family val="2"/>
      </rPr>
      <t xml:space="preserve">浸炭 歯面</t>
    </r>
  </si>
  <si>
    <t xml:space="preserve">歯面安全率</t>
  </si>
  <si>
    <t xml:space="preserve">SH</t>
  </si>
  <si>
    <t xml:space="preserve">≧ 1.15</t>
  </si>
  <si>
    <r>
      <rPr>
        <b val="true"/>
        <sz val="9.5"/>
        <rFont val="Yu Gothic"/>
        <family val="0"/>
        <charset val="1"/>
      </rPr>
      <t xml:space="preserve">5. </t>
    </r>
    <r>
      <rPr>
        <b val="true"/>
        <sz val="9.5"/>
        <rFont val="Noto Sans CJK SC"/>
        <family val="2"/>
      </rPr>
      <t xml:space="preserve">結論</t>
    </r>
  </si>
  <si>
    <t xml:space="preserve">・歯面強さは十分な安全率を確保。</t>
  </si>
  <si>
    <r>
      <rPr>
        <sz val="9"/>
        <rFont val="Noto Sans CJK SC"/>
        <family val="2"/>
      </rPr>
      <t xml:space="preserve">・歯元曲げ強さは合格だが安全率の余裕は小さい。歯元すみ肉</t>
    </r>
    <r>
      <rPr>
        <sz val="9"/>
        <rFont val="Yu Gothic"/>
        <family val="0"/>
        <charset val="1"/>
      </rPr>
      <t xml:space="preserve">R</t>
    </r>
    <r>
      <rPr>
        <sz val="9"/>
        <rFont val="Noto Sans CJK SC"/>
        <family val="2"/>
      </rPr>
      <t xml:space="preserve">（</t>
    </r>
    <r>
      <rPr>
        <sz val="9"/>
        <rFont val="Yu Gothic"/>
        <family val="0"/>
        <charset val="1"/>
      </rPr>
      <t xml:space="preserve">0.38m</t>
    </r>
    <r>
      <rPr>
        <sz val="9"/>
        <rFont val="Noto Sans CJK SC"/>
        <family val="2"/>
      </rPr>
      <t xml:space="preserve">）と起動時ピークの影響が支配的。</t>
    </r>
  </si>
  <si>
    <r>
      <rPr>
        <sz val="9"/>
        <rFont val="Noto Sans CJK SC"/>
        <family val="2"/>
      </rPr>
      <t xml:space="preserve">・トルク条件を引き上げる場合は、歯元</t>
    </r>
    <r>
      <rPr>
        <sz val="9"/>
        <rFont val="Yu Gothic"/>
        <family val="0"/>
        <charset val="1"/>
      </rPr>
      <t xml:space="preserve">R </t>
    </r>
    <r>
      <rPr>
        <sz val="9"/>
        <rFont val="Noto Sans CJK SC"/>
        <family val="2"/>
      </rPr>
      <t xml:space="preserve">拡大・歯幅増・モジュール増のいずれかで歯元応力を再評価のこと。</t>
    </r>
  </si>
  <si>
    <r>
      <rPr>
        <b val="true"/>
        <sz val="9"/>
        <rFont val="Noto Sans CJK SC"/>
        <family val="2"/>
      </rPr>
      <t xml:space="preserve">・</t>
    </r>
    <r>
      <rPr>
        <b val="true"/>
        <sz val="9"/>
        <rFont val="Yu Gothic"/>
        <family val="0"/>
        <charset val="1"/>
      </rPr>
      <t xml:space="preserve">Rev.1</t>
    </r>
    <r>
      <rPr>
        <b val="true"/>
        <sz val="9"/>
        <rFont val="Noto Sans CJK SC"/>
        <family val="2"/>
      </rPr>
      <t xml:space="preserve">（</t>
    </r>
    <r>
      <rPr>
        <b val="true"/>
        <sz val="9"/>
        <rFont val="Yu Gothic"/>
        <family val="0"/>
        <charset val="1"/>
      </rPr>
      <t xml:space="preserve">2022-09</t>
    </r>
    <r>
      <rPr>
        <b val="true"/>
        <sz val="9"/>
        <rFont val="Noto Sans CJK SC"/>
        <family val="2"/>
      </rPr>
      <t xml:space="preserve">）にて起動時ピーク係数 </t>
    </r>
    <r>
      <rPr>
        <b val="true"/>
        <sz val="9"/>
        <rFont val="Yu Gothic"/>
        <family val="0"/>
        <charset val="1"/>
      </rPr>
      <t xml:space="preserve">Ks=1.30 </t>
    </r>
    <r>
      <rPr>
        <b val="true"/>
        <sz val="9"/>
        <rFont val="Noto Sans CJK SC"/>
        <family val="2"/>
      </rPr>
      <t xml:space="preserve">を追加。不具合 </t>
    </r>
    <r>
      <rPr>
        <b val="true"/>
        <sz val="9"/>
        <rFont val="Yu Gothic"/>
        <family val="0"/>
        <charset val="1"/>
      </rPr>
      <t xml:space="preserve">QR-2022-114 </t>
    </r>
    <r>
      <rPr>
        <b val="true"/>
        <sz val="9"/>
        <rFont val="Noto Sans CJK SC"/>
        <family val="2"/>
      </rPr>
      <t xml:space="preserve">の是正を反映。</t>
    </r>
  </si>
  <si>
    <r>
      <rPr>
        <sz val="8"/>
        <rFont val="Noto Sans CJK SC"/>
        <family val="2"/>
      </rPr>
      <t xml:space="preserve">様式 </t>
    </r>
    <r>
      <rPr>
        <sz val="8"/>
        <rFont val="Yu Gothic"/>
        <family val="0"/>
        <charset val="1"/>
      </rPr>
      <t xml:space="preserve">EGL-D-035  </t>
    </r>
    <r>
      <rPr>
        <sz val="8"/>
        <rFont val="Noto Sans CJK SC"/>
        <family val="2"/>
      </rPr>
      <t xml:space="preserve">（</t>
    </r>
    <r>
      <rPr>
        <sz val="8"/>
        <rFont val="Yu Gothic"/>
        <family val="0"/>
        <charset val="1"/>
      </rPr>
      <t xml:space="preserve">A4</t>
    </r>
    <r>
      <rPr>
        <sz val="8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</si>
</sst>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0"/>
    <numFmt numFmtId="167" formatCode="0"/>
    <numFmt numFmtId="168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Yu Gothic"/>
      <family val="0"/>
      <charset val="1"/>
    </font>
    <font>
      <b val="true"/>
      <sz val="15"/>
      <name val="Noto Sans CJK SC"/>
      <family val="2"/>
    </font>
    <font>
      <b val="true"/>
      <sz val="13"/>
      <name val="Noto Sans CJK SC"/>
      <family val="2"/>
    </font>
    <font>
      <sz val="8"/>
      <color rgb="FF595959"/>
      <name val="Yu Gothic"/>
      <family val="0"/>
      <charset val="1"/>
    </font>
    <font>
      <b val="true"/>
      <sz val="9"/>
      <name val="Noto Sans CJK SC"/>
      <family val="2"/>
    </font>
    <font>
      <sz val="9"/>
      <name val="Yu Gothic"/>
      <family val="0"/>
      <charset val="1"/>
    </font>
    <font>
      <sz val="9"/>
      <name val="Noto Sans CJK SC"/>
      <family val="2"/>
    </font>
    <font>
      <b val="true"/>
      <sz val="9.5"/>
      <name val="Yu Gothic"/>
      <family val="0"/>
      <charset val="1"/>
    </font>
    <font>
      <b val="true"/>
      <sz val="9.5"/>
      <name val="Noto Sans CJK SC"/>
      <family val="2"/>
    </font>
    <font>
      <sz val="8"/>
      <name val="Yu Gothic"/>
      <family val="0"/>
      <charset val="1"/>
    </font>
    <font>
      <b val="true"/>
      <sz val="9"/>
      <color rgb="FF0000FF"/>
      <name val="Yu Gothic"/>
      <family val="0"/>
      <charset val="1"/>
    </font>
    <font>
      <sz val="8"/>
      <name val="Noto Sans CJK SC"/>
      <family val="2"/>
    </font>
    <font>
      <b val="true"/>
      <sz val="9"/>
      <name val="Yu Goth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  <fill>
      <patternFill patternType="solid">
        <fgColor rgb="FFF8CBAD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2"/>
    <col collapsed="false" customWidth="true" hidden="false" outlineLevel="0" max="8" min="8" style="0" width="24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6" hidden="false" customHeight="true" outlineLevel="0" collapsed="false"/>
    <row r="2" customFormat="false" ht="23.1" hidden="false" customHeight="false" outlineLevel="0" collapsed="false">
      <c r="B2" s="1" t="s">
        <v>0</v>
      </c>
      <c r="C2" s="1"/>
      <c r="D2" s="1"/>
      <c r="E2" s="1"/>
      <c r="H2" s="2" t="s">
        <v>1</v>
      </c>
      <c r="I2" s="2"/>
      <c r="J2" s="2"/>
    </row>
    <row r="3" customFormat="false" ht="15" hidden="false" customHeight="false" outlineLevel="0" collapsed="false">
      <c r="B3" s="3" t="s">
        <v>2</v>
      </c>
      <c r="C3" s="3"/>
      <c r="D3" s="3"/>
      <c r="E3" s="3"/>
    </row>
    <row r="4" customFormat="false" ht="3.75" hidden="false" customHeight="true" outlineLevel="0" collapsed="false"/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H5" s="4" t="s">
        <v>5</v>
      </c>
      <c r="I5" s="5" t="s">
        <v>6</v>
      </c>
      <c r="J5" s="5"/>
    </row>
    <row r="6" customFormat="false" ht="15" hidden="false" customHeight="false" outlineLevel="0" collapsed="false">
      <c r="B6" s="4" t="s">
        <v>7</v>
      </c>
      <c r="C6" s="6" t="s">
        <v>8</v>
      </c>
      <c r="D6" s="6"/>
      <c r="E6" s="6"/>
      <c r="H6" s="4" t="s">
        <v>9</v>
      </c>
      <c r="I6" s="5" t="s">
        <v>10</v>
      </c>
      <c r="J6" s="5"/>
    </row>
    <row r="7" customFormat="false" ht="15" hidden="false" customHeight="false" outlineLevel="0" collapsed="false">
      <c r="B7" s="4" t="s">
        <v>11</v>
      </c>
      <c r="C7" s="6" t="s">
        <v>12</v>
      </c>
      <c r="D7" s="6"/>
      <c r="E7" s="6"/>
      <c r="H7" s="4" t="s">
        <v>13</v>
      </c>
      <c r="I7" s="5" t="s">
        <v>14</v>
      </c>
      <c r="J7" s="5"/>
    </row>
    <row r="8" customFormat="false" ht="15" hidden="false" customHeight="false" outlineLevel="0" collapsed="false">
      <c r="B8" s="4" t="s">
        <v>15</v>
      </c>
      <c r="C8" s="6" t="s">
        <v>16</v>
      </c>
      <c r="D8" s="6"/>
      <c r="E8" s="6"/>
      <c r="H8" s="4" t="s">
        <v>17</v>
      </c>
      <c r="I8" s="5" t="s">
        <v>18</v>
      </c>
      <c r="J8" s="5"/>
    </row>
    <row r="10" customFormat="false" ht="15" hidden="false" customHeight="false" outlineLevel="0" collapsed="false">
      <c r="B10" s="7" t="s">
        <v>19</v>
      </c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6" t="s">
        <v>20</v>
      </c>
      <c r="C11" s="8" t="s">
        <v>21</v>
      </c>
      <c r="D11" s="9" t="n">
        <v>15.7</v>
      </c>
      <c r="E11" s="8" t="s">
        <v>22</v>
      </c>
      <c r="H11" s="10" t="s">
        <v>23</v>
      </c>
      <c r="I11" s="10"/>
      <c r="J11" s="10"/>
    </row>
    <row r="12" customFormat="false" ht="15" hidden="false" customHeight="false" outlineLevel="0" collapsed="false">
      <c r="B12" s="6" t="s">
        <v>24</v>
      </c>
      <c r="C12" s="8" t="s">
        <v>25</v>
      </c>
      <c r="D12" s="11" t="n">
        <v>1500</v>
      </c>
      <c r="E12" s="8" t="s">
        <v>26</v>
      </c>
      <c r="H12" s="10"/>
      <c r="I12" s="10"/>
      <c r="J12" s="10"/>
    </row>
    <row r="13" customFormat="false" ht="15" hidden="false" customHeight="false" outlineLevel="0" collapsed="false">
      <c r="B13" s="6" t="s">
        <v>27</v>
      </c>
      <c r="C13" s="8" t="s">
        <v>28</v>
      </c>
      <c r="D13" s="11" t="n">
        <v>3</v>
      </c>
      <c r="E13" s="8" t="s">
        <v>29</v>
      </c>
      <c r="H13" s="10"/>
      <c r="I13" s="10"/>
      <c r="J13" s="10"/>
    </row>
    <row r="14" customFormat="false" ht="15" hidden="false" customHeight="false" outlineLevel="0" collapsed="false">
      <c r="B14" s="6" t="s">
        <v>30</v>
      </c>
      <c r="C14" s="8" t="s">
        <v>31</v>
      </c>
      <c r="D14" s="11" t="n">
        <v>20</v>
      </c>
      <c r="E14" s="8"/>
      <c r="H14" s="10" t="s">
        <v>32</v>
      </c>
      <c r="I14" s="10"/>
      <c r="J14" s="10"/>
    </row>
    <row r="15" customFormat="false" ht="15" hidden="false" customHeight="false" outlineLevel="0" collapsed="false">
      <c r="B15" s="6" t="s">
        <v>33</v>
      </c>
      <c r="C15" s="8" t="s">
        <v>34</v>
      </c>
      <c r="D15" s="11" t="n">
        <v>30</v>
      </c>
      <c r="E15" s="8" t="s">
        <v>29</v>
      </c>
      <c r="H15" s="10"/>
      <c r="I15" s="10"/>
      <c r="J15" s="10"/>
    </row>
    <row r="16" customFormat="false" ht="15" hidden="false" customHeight="false" outlineLevel="0" collapsed="false">
      <c r="B16" s="6" t="s">
        <v>35</v>
      </c>
      <c r="C16" s="8" t="s">
        <v>36</v>
      </c>
      <c r="D16" s="12" t="n">
        <f aca="false">D13*D14</f>
        <v>60</v>
      </c>
      <c r="E16" s="8" t="s">
        <v>29</v>
      </c>
      <c r="H16" s="13" t="s">
        <v>37</v>
      </c>
      <c r="I16" s="13"/>
      <c r="J16" s="13"/>
    </row>
    <row r="17" customFormat="false" ht="15" hidden="false" customHeight="false" outlineLevel="0" collapsed="false">
      <c r="B17" s="6" t="s">
        <v>38</v>
      </c>
      <c r="C17" s="8" t="s">
        <v>39</v>
      </c>
      <c r="D17" s="14" t="n">
        <f aca="false">0.38*D13</f>
        <v>1.14</v>
      </c>
      <c r="E17" s="8" t="s">
        <v>29</v>
      </c>
      <c r="H17" s="13" t="s">
        <v>40</v>
      </c>
      <c r="I17" s="13"/>
      <c r="J17" s="13"/>
    </row>
    <row r="19" customFormat="false" ht="15" hidden="false" customHeight="false" outlineLevel="0" collapsed="false">
      <c r="B19" s="7" t="s">
        <v>41</v>
      </c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B20" s="6" t="s">
        <v>42</v>
      </c>
      <c r="C20" s="8" t="s">
        <v>43</v>
      </c>
      <c r="D20" s="12" t="n">
        <f aca="false">9550*D11/D12</f>
        <v>99.9566666666667</v>
      </c>
      <c r="E20" s="8" t="s">
        <v>44</v>
      </c>
      <c r="H20" s="13" t="s">
        <v>45</v>
      </c>
      <c r="I20" s="13"/>
      <c r="J20" s="13"/>
    </row>
    <row r="21" customFormat="false" ht="15" hidden="false" customHeight="false" outlineLevel="0" collapsed="false">
      <c r="B21" s="6" t="s">
        <v>46</v>
      </c>
      <c r="C21" s="8" t="s">
        <v>47</v>
      </c>
      <c r="D21" s="15" t="n">
        <f aca="false">2000*D20/D16</f>
        <v>3331.88888888889</v>
      </c>
      <c r="E21" s="8" t="s">
        <v>48</v>
      </c>
      <c r="H21" s="13" t="s">
        <v>49</v>
      </c>
      <c r="I21" s="13"/>
      <c r="J21" s="13"/>
    </row>
    <row r="22" customFormat="false" ht="15" hidden="false" customHeight="false" outlineLevel="0" collapsed="false">
      <c r="B22" s="6" t="s">
        <v>50</v>
      </c>
      <c r="C22" s="8" t="s">
        <v>51</v>
      </c>
      <c r="D22" s="16" t="n">
        <v>1.25</v>
      </c>
      <c r="E22" s="8"/>
      <c r="H22" s="10" t="s">
        <v>52</v>
      </c>
      <c r="I22" s="10"/>
      <c r="J22" s="10"/>
    </row>
    <row r="23" customFormat="false" ht="15" hidden="false" customHeight="false" outlineLevel="0" collapsed="false">
      <c r="B23" s="6" t="s">
        <v>53</v>
      </c>
      <c r="C23" s="8" t="s">
        <v>54</v>
      </c>
      <c r="D23" s="16" t="n">
        <v>1.15</v>
      </c>
      <c r="E23" s="8"/>
      <c r="H23" s="10" t="s">
        <v>55</v>
      </c>
      <c r="I23" s="10"/>
      <c r="J23" s="10"/>
    </row>
    <row r="24" customFormat="false" ht="15" hidden="false" customHeight="false" outlineLevel="0" collapsed="false">
      <c r="B24" s="17" t="s">
        <v>56</v>
      </c>
      <c r="C24" s="18" t="s">
        <v>57</v>
      </c>
      <c r="D24" s="19" t="n">
        <v>1.3</v>
      </c>
      <c r="E24" s="18"/>
      <c r="H24" s="20" t="s">
        <v>58</v>
      </c>
      <c r="I24" s="20"/>
      <c r="J24" s="20"/>
    </row>
    <row r="25" customFormat="false" ht="15" hidden="false" customHeight="false" outlineLevel="0" collapsed="false">
      <c r="B25" s="6" t="s">
        <v>59</v>
      </c>
      <c r="C25" s="8" t="s">
        <v>60</v>
      </c>
      <c r="D25" s="16" t="n">
        <v>3.1</v>
      </c>
      <c r="E25" s="8"/>
      <c r="H25" s="13" t="s">
        <v>61</v>
      </c>
      <c r="I25" s="13"/>
      <c r="J25" s="13"/>
    </row>
    <row r="26" customFormat="false" ht="15" hidden="false" customHeight="false" outlineLevel="0" collapsed="false">
      <c r="B26" s="6" t="s">
        <v>62</v>
      </c>
      <c r="C26" s="8" t="s">
        <v>63</v>
      </c>
      <c r="D26" s="16" t="n">
        <v>1.7</v>
      </c>
      <c r="E26" s="8"/>
      <c r="H26" s="13" t="s">
        <v>64</v>
      </c>
      <c r="I26" s="13"/>
      <c r="J26" s="13"/>
    </row>
    <row r="27" customFormat="false" ht="15" hidden="false" customHeight="false" outlineLevel="0" collapsed="false">
      <c r="B27" s="6" t="s">
        <v>65</v>
      </c>
      <c r="C27" s="8" t="s">
        <v>66</v>
      </c>
      <c r="D27" s="16" t="n">
        <v>0.72</v>
      </c>
      <c r="E27" s="8"/>
      <c r="H27" s="13"/>
      <c r="I27" s="13"/>
      <c r="J27" s="13"/>
    </row>
    <row r="29" customFormat="false" ht="15" hidden="false" customHeight="false" outlineLevel="0" collapsed="false">
      <c r="B29" s="7" t="s">
        <v>67</v>
      </c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B30" s="21" t="s">
        <v>68</v>
      </c>
      <c r="C30" s="8" t="s">
        <v>69</v>
      </c>
      <c r="D30" s="22" t="n">
        <f aca="false">D21/(D15*D13)*D25*D26*D27*D22*D23*D24</f>
        <v>262.507863944444</v>
      </c>
      <c r="E30" s="8" t="s">
        <v>70</v>
      </c>
      <c r="H30" s="13" t="s">
        <v>71</v>
      </c>
      <c r="I30" s="13"/>
      <c r="J30" s="13"/>
    </row>
    <row r="31" customFormat="false" ht="15" hidden="false" customHeight="false" outlineLevel="0" collapsed="false">
      <c r="B31" s="6" t="s">
        <v>72</v>
      </c>
      <c r="C31" s="8" t="s">
        <v>73</v>
      </c>
      <c r="D31" s="11" t="n">
        <v>340</v>
      </c>
      <c r="E31" s="8" t="s">
        <v>70</v>
      </c>
      <c r="H31" s="13" t="s">
        <v>74</v>
      </c>
      <c r="I31" s="13"/>
      <c r="J31" s="13"/>
    </row>
    <row r="32" customFormat="false" ht="15" hidden="false" customHeight="false" outlineLevel="0" collapsed="false">
      <c r="B32" s="21" t="s">
        <v>75</v>
      </c>
      <c r="C32" s="8" t="s">
        <v>76</v>
      </c>
      <c r="D32" s="23" t="n">
        <f aca="false">D31/D30</f>
        <v>1.29519929380842</v>
      </c>
      <c r="E32" s="8"/>
      <c r="H32" s="6" t="s">
        <v>77</v>
      </c>
      <c r="I32" s="24" t="s">
        <v>78</v>
      </c>
      <c r="J32" s="6"/>
    </row>
    <row r="33" customFormat="false" ht="15" hidden="false" customHeight="false" outlineLevel="0" collapsed="false">
      <c r="B33" s="21" t="s">
        <v>79</v>
      </c>
      <c r="C33" s="8"/>
      <c r="D33" s="25" t="str">
        <f aca="false">IF(D32&gt;=1.2,"合格（ただし余裕小）","要対策")</f>
        <v>合格（ただし余裕小）</v>
      </c>
      <c r="E33" s="25"/>
      <c r="H33" s="10" t="s">
        <v>80</v>
      </c>
      <c r="I33" s="10"/>
      <c r="J33" s="10"/>
    </row>
    <row r="35" customFormat="false" ht="15" hidden="false" customHeight="false" outlineLevel="0" collapsed="false">
      <c r="B35" s="7" t="s">
        <v>81</v>
      </c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B36" s="6" t="s">
        <v>82</v>
      </c>
      <c r="C36" s="8" t="s">
        <v>83</v>
      </c>
      <c r="D36" s="11" t="n">
        <v>1180</v>
      </c>
      <c r="E36" s="8" t="s">
        <v>70</v>
      </c>
      <c r="H36" s="10" t="s">
        <v>84</v>
      </c>
      <c r="I36" s="10"/>
      <c r="J36" s="10"/>
    </row>
    <row r="37" customFormat="false" ht="15" hidden="false" customHeight="false" outlineLevel="0" collapsed="false">
      <c r="B37" s="6" t="s">
        <v>85</v>
      </c>
      <c r="C37" s="8" t="s">
        <v>86</v>
      </c>
      <c r="D37" s="11" t="n">
        <v>1500</v>
      </c>
      <c r="E37" s="8" t="s">
        <v>70</v>
      </c>
      <c r="H37" s="13" t="s">
        <v>87</v>
      </c>
      <c r="I37" s="13"/>
      <c r="J37" s="13"/>
    </row>
    <row r="38" customFormat="false" ht="15" hidden="false" customHeight="false" outlineLevel="0" collapsed="false">
      <c r="B38" s="21" t="s">
        <v>88</v>
      </c>
      <c r="C38" s="8" t="s">
        <v>89</v>
      </c>
      <c r="D38" s="23" t="n">
        <f aca="false">D37/D36</f>
        <v>1.27118644067797</v>
      </c>
      <c r="E38" s="8"/>
      <c r="H38" s="6" t="s">
        <v>77</v>
      </c>
      <c r="I38" s="24" t="s">
        <v>90</v>
      </c>
      <c r="J38" s="6"/>
    </row>
    <row r="39" customFormat="false" ht="15" hidden="false" customHeight="false" outlineLevel="0" collapsed="false">
      <c r="B39" s="21" t="s">
        <v>79</v>
      </c>
      <c r="C39" s="8"/>
      <c r="D39" s="25" t="str">
        <f aca="false">IF(D38&gt;=1.15,"合格","要対策")</f>
        <v>合格</v>
      </c>
      <c r="E39" s="25"/>
      <c r="H39" s="13"/>
      <c r="I39" s="13"/>
      <c r="J39" s="13"/>
    </row>
    <row r="41" customFormat="false" ht="15" hidden="false" customHeight="false" outlineLevel="0" collapsed="false">
      <c r="B41" s="7" t="s">
        <v>91</v>
      </c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B42" s="26" t="s">
        <v>92</v>
      </c>
      <c r="C42" s="26"/>
      <c r="D42" s="26"/>
      <c r="E42" s="26"/>
      <c r="F42" s="26"/>
      <c r="G42" s="26"/>
      <c r="H42" s="26"/>
      <c r="I42" s="26"/>
      <c r="J42" s="26"/>
    </row>
    <row r="43" customFormat="false" ht="15" hidden="false" customHeight="false" outlineLevel="0" collapsed="false">
      <c r="B43" s="26" t="s">
        <v>93</v>
      </c>
      <c r="C43" s="26"/>
      <c r="D43" s="26"/>
      <c r="E43" s="26"/>
      <c r="F43" s="26"/>
      <c r="G43" s="26"/>
      <c r="H43" s="26"/>
      <c r="I43" s="26"/>
      <c r="J43" s="26"/>
    </row>
    <row r="44" customFormat="false" ht="15" hidden="false" customHeight="false" outlineLevel="0" collapsed="false">
      <c r="B44" s="26" t="s">
        <v>94</v>
      </c>
      <c r="C44" s="26"/>
      <c r="D44" s="26"/>
      <c r="E44" s="26"/>
      <c r="F44" s="26"/>
      <c r="G44" s="26"/>
      <c r="H44" s="26"/>
      <c r="I44" s="26"/>
      <c r="J44" s="26"/>
    </row>
    <row r="45" customFormat="false" ht="15" hidden="false" customHeight="false" outlineLevel="0" collapsed="false">
      <c r="B45" s="27" t="s">
        <v>95</v>
      </c>
      <c r="C45" s="27"/>
      <c r="D45" s="27"/>
      <c r="E45" s="27"/>
      <c r="F45" s="27"/>
      <c r="G45" s="27"/>
      <c r="H45" s="27"/>
      <c r="I45" s="27"/>
      <c r="J45" s="27"/>
    </row>
    <row r="47" customFormat="false" ht="15" hidden="false" customHeight="false" outlineLevel="0" collapsed="false">
      <c r="B47" s="28" t="s">
        <v>96</v>
      </c>
      <c r="C47" s="28"/>
      <c r="D47" s="28"/>
      <c r="E47" s="28"/>
      <c r="F47" s="28"/>
      <c r="G47" s="28"/>
      <c r="H47" s="28"/>
      <c r="I47" s="28"/>
      <c r="J47" s="28"/>
    </row>
  </sheetData>
  <mergeCells count="44">
    <mergeCell ref="B2:E2"/>
    <mergeCell ref="H2:J2"/>
    <mergeCell ref="B3:E3"/>
    <mergeCell ref="C5:E5"/>
    <mergeCell ref="I5:J5"/>
    <mergeCell ref="C6:E6"/>
    <mergeCell ref="I6:J6"/>
    <mergeCell ref="C7:E7"/>
    <mergeCell ref="I7:J7"/>
    <mergeCell ref="C8:E8"/>
    <mergeCell ref="I8:J8"/>
    <mergeCell ref="B10:J10"/>
    <mergeCell ref="H11:J11"/>
    <mergeCell ref="H12:J12"/>
    <mergeCell ref="H13:J13"/>
    <mergeCell ref="H14:J14"/>
    <mergeCell ref="H15:J15"/>
    <mergeCell ref="H16:J16"/>
    <mergeCell ref="H17:J17"/>
    <mergeCell ref="B19:J19"/>
    <mergeCell ref="H20:J20"/>
    <mergeCell ref="H21:J21"/>
    <mergeCell ref="H22:J22"/>
    <mergeCell ref="H23:J23"/>
    <mergeCell ref="H24:J24"/>
    <mergeCell ref="H25:J25"/>
    <mergeCell ref="H26:J26"/>
    <mergeCell ref="H27:J27"/>
    <mergeCell ref="B29:J29"/>
    <mergeCell ref="H30:J30"/>
    <mergeCell ref="H31:J31"/>
    <mergeCell ref="D33:E33"/>
    <mergeCell ref="H33:J33"/>
    <mergeCell ref="B35:J35"/>
    <mergeCell ref="H36:J36"/>
    <mergeCell ref="H37:J37"/>
    <mergeCell ref="D39:E39"/>
    <mergeCell ref="H39:J39"/>
    <mergeCell ref="B41:J41"/>
    <mergeCell ref="B42:J42"/>
    <mergeCell ref="B43:J43"/>
    <mergeCell ref="B44:J44"/>
    <mergeCell ref="B45:J45"/>
    <mergeCell ref="B47:J47"/>
  </mergeCells>
  <printOptions headings="false" gridLines="false" gridLinesSet="true" horizontalCentered="false" verticalCentered="false"/>
  <pageMargins left="0.35" right="0.3" top="0.4" bottom="0.3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2026-06-21T11:10:21Z</dcterms:created>
  <dc:creator>openpyxl</dc:creator>
  <dc:description/>
  <dc:language>en-US</dc:language>
  <cp:lastModifiedBy/>
  <dcterms:modified xsi:type="dcterms:W3CDTF">2026-06-21T11:10:21Z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