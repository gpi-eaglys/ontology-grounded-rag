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計諸元表" sheetId="1" state="visible" r:id="rId3"/>
  </sheets>
  <definedNames>
    <definedName function="false" hidden="false" localSheetId="0" name="_xlnm.Print_Area" vbProcedure="false">設計諸元表!$A$1:$J$43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<sst xmlns="http://schemas.openxmlformats.org/spreadsheetml/2006/main" count="119" uniqueCount="109">
  <si>
    <r>
      <rPr>
        <b val="true"/>
        <sz val="15"/>
        <rFont val="Yu Gothic"/>
        <family val="0"/>
        <charset val="1"/>
      </rPr>
      <t xml:space="preserve">EGL </t>
    </r>
    <r>
      <rPr>
        <b val="true"/>
        <sz val="15"/>
        <rFont val="Noto Sans CJK SC"/>
        <family val="2"/>
      </rPr>
      <t xml:space="preserve">ギア株式会社</t>
    </r>
  </si>
  <si>
    <t xml:space="preserve">設 計 諸 元 表</t>
  </si>
  <si>
    <t xml:space="preserve">EGL GEAR CO., LTD.</t>
  </si>
  <si>
    <t xml:space="preserve">文書番号</t>
  </si>
  <si>
    <t xml:space="preserve">DS-RG50-01</t>
  </si>
  <si>
    <t xml:space="preserve">対象型式</t>
  </si>
  <si>
    <t xml:space="preserve">RG-50</t>
  </si>
  <si>
    <t xml:space="preserve">製品名</t>
  </si>
  <si>
    <t xml:space="preserve">搬送コンベヤ駆動用 平歯車単段減速機</t>
  </si>
  <si>
    <t xml:space="preserve">関連図番</t>
  </si>
  <si>
    <t xml:space="preserve">ASSY-50/GR-204/GR-205</t>
  </si>
  <si>
    <t xml:space="preserve">作成</t>
  </si>
  <si>
    <t xml:space="preserve">藤原</t>
  </si>
  <si>
    <t xml:space="preserve">承認</t>
  </si>
  <si>
    <t xml:space="preserve">李</t>
  </si>
  <si>
    <t xml:space="preserve">作成日</t>
  </si>
  <si>
    <t xml:space="preserve">2021-06-18</t>
  </si>
  <si>
    <t xml:space="preserve">改訂</t>
  </si>
  <si>
    <r>
      <rPr>
        <sz val="9"/>
        <rFont val="Yu Gothic"/>
        <family val="0"/>
        <charset val="1"/>
      </rPr>
      <t xml:space="preserve">Rev.0</t>
    </r>
    <r>
      <rPr>
        <sz val="9"/>
        <rFont val="Noto Sans CJK SC"/>
        <family val="2"/>
      </rPr>
      <t xml:space="preserve">（初版）</t>
    </r>
  </si>
  <si>
    <t xml:space="preserve">歯 車 要 目 表</t>
  </si>
  <si>
    <t xml:space="preserve">項　目</t>
  </si>
  <si>
    <t xml:space="preserve">記号</t>
  </si>
  <si>
    <t xml:space="preserve">駆動歯車</t>
  </si>
  <si>
    <t xml:space="preserve">被動歯車</t>
  </si>
  <si>
    <t xml:space="preserve">単位</t>
  </si>
  <si>
    <t xml:space="preserve">摘　要</t>
  </si>
  <si>
    <t xml:space="preserve">モジュール</t>
  </si>
  <si>
    <t xml:space="preserve">m</t>
  </si>
  <si>
    <t xml:space="preserve">mm</t>
  </si>
  <si>
    <t xml:space="preserve">設計値（基準）</t>
  </si>
  <si>
    <t xml:space="preserve">基準圧力角</t>
  </si>
  <si>
    <t xml:space="preserve">α</t>
  </si>
  <si>
    <t xml:space="preserve">度</t>
  </si>
  <si>
    <t xml:space="preserve">標準</t>
  </si>
  <si>
    <t xml:space="preserve">歯数</t>
  </si>
  <si>
    <t xml:space="preserve">z</t>
  </si>
  <si>
    <t xml:space="preserve">GR-204 / GR-205</t>
  </si>
  <si>
    <t xml:space="preserve">基準ピッチ円直径</t>
  </si>
  <si>
    <t xml:space="preserve">d</t>
  </si>
  <si>
    <t xml:space="preserve">d = m·z</t>
  </si>
  <si>
    <t xml:space="preserve">基礎円直径</t>
  </si>
  <si>
    <t xml:space="preserve">db</t>
  </si>
  <si>
    <t xml:space="preserve">db = d·cosα</t>
  </si>
  <si>
    <t xml:space="preserve">歯先円直径</t>
  </si>
  <si>
    <t xml:space="preserve">da</t>
  </si>
  <si>
    <t xml:space="preserve">da = d + 2m</t>
  </si>
  <si>
    <t xml:space="preserve">歯底円直径</t>
  </si>
  <si>
    <t xml:space="preserve">df</t>
  </si>
  <si>
    <t xml:space="preserve">df = d − 2.5m</t>
  </si>
  <si>
    <t xml:space="preserve">全歯たけ</t>
  </si>
  <si>
    <t xml:space="preserve">h</t>
  </si>
  <si>
    <t xml:space="preserve">h = 2.25m</t>
  </si>
  <si>
    <t xml:space="preserve">またぎ歯数</t>
  </si>
  <si>
    <t xml:space="preserve">zm</t>
  </si>
  <si>
    <t xml:space="preserve">枚</t>
  </si>
  <si>
    <t xml:space="preserve">歯厚測定用</t>
  </si>
  <si>
    <t xml:space="preserve">またぎ歯厚</t>
  </si>
  <si>
    <t xml:space="preserve">W</t>
  </si>
  <si>
    <r>
      <rPr>
        <sz val="8.5"/>
        <rFont val="Noto Sans CJK SC"/>
        <family val="2"/>
      </rPr>
      <t xml:space="preserve">公差 −</t>
    </r>
    <r>
      <rPr>
        <sz val="8.5"/>
        <rFont val="Yu Gothic"/>
        <family val="0"/>
        <charset val="1"/>
      </rPr>
      <t xml:space="preserve">0.05/−0.13</t>
    </r>
  </si>
  <si>
    <t xml:space="preserve">歯元すみ肉半径</t>
  </si>
  <si>
    <t xml:space="preserve">ρf</t>
  </si>
  <si>
    <r>
      <rPr>
        <sz val="8.5"/>
        <rFont val="Yu Gothic"/>
        <family val="0"/>
        <charset val="1"/>
      </rPr>
      <t xml:space="preserve">ρf = 0.38m   </t>
    </r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1)</t>
    </r>
  </si>
  <si>
    <t xml:space="preserve">かみあい率</t>
  </si>
  <si>
    <t xml:space="preserve">εα</t>
  </si>
  <si>
    <r>
      <rPr>
        <sz val="8.5"/>
        <rFont val="Yu Gothic"/>
        <family val="0"/>
        <charset val="1"/>
      </rPr>
      <t xml:space="preserve">1.4</t>
    </r>
    <r>
      <rPr>
        <sz val="8.5"/>
        <rFont val="Noto Sans CJK SC"/>
        <family val="2"/>
      </rPr>
      <t xml:space="preserve">以上 良好</t>
    </r>
  </si>
  <si>
    <t xml:space="preserve">基準軸間距離</t>
  </si>
  <si>
    <t xml:space="preserve">a</t>
  </si>
  <si>
    <r>
      <rPr>
        <sz val="8.5"/>
        <rFont val="Yu Gothic"/>
        <family val="0"/>
        <charset val="1"/>
      </rPr>
      <t xml:space="preserve">a = (d1+d2)/2   </t>
    </r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2)</t>
    </r>
  </si>
  <si>
    <t xml:space="preserve">バックラッシ（円周）</t>
  </si>
  <si>
    <t xml:space="preserve">jt</t>
  </si>
  <si>
    <r>
      <rPr>
        <sz val="9"/>
        <rFont val="Yu Gothic"/>
        <family val="0"/>
        <charset val="1"/>
      </rPr>
      <t xml:space="preserve">0.10 </t>
    </r>
    <r>
      <rPr>
        <sz val="9"/>
        <rFont val="Noto Sans CJK SC"/>
        <family val="2"/>
      </rPr>
      <t xml:space="preserve">〜 </t>
    </r>
    <r>
      <rPr>
        <sz val="9"/>
        <rFont val="Yu Gothic"/>
        <family val="0"/>
        <charset val="1"/>
      </rPr>
      <t xml:space="preserve">0.20</t>
    </r>
  </si>
  <si>
    <t xml:space="preserve">組立管理値</t>
  </si>
  <si>
    <t xml:space="preserve">歯幅</t>
  </si>
  <si>
    <t xml:space="preserve">b</t>
  </si>
  <si>
    <t xml:space="preserve">精度等級</t>
  </si>
  <si>
    <t xml:space="preserve">—</t>
  </si>
  <si>
    <t xml:space="preserve">JIS B 1702  N8</t>
  </si>
  <si>
    <t xml:space="preserve">材料・熱処理</t>
  </si>
  <si>
    <t xml:space="preserve">減速機 仕様</t>
  </si>
  <si>
    <t xml:space="preserve">材質</t>
  </si>
  <si>
    <t xml:space="preserve">SCM440</t>
  </si>
  <si>
    <t xml:space="preserve">形式</t>
  </si>
  <si>
    <t xml:space="preserve">平歯車 単段</t>
  </si>
  <si>
    <t xml:space="preserve">熱処理</t>
  </si>
  <si>
    <t xml:space="preserve">浸炭焼入れ</t>
  </si>
  <si>
    <r>
      <rPr>
        <sz val="9"/>
        <rFont val="Noto Sans CJK SC"/>
        <family val="2"/>
      </rPr>
      <t xml:space="preserve">減速比 </t>
    </r>
    <r>
      <rPr>
        <sz val="9"/>
        <rFont val="Yu Gothic"/>
        <family val="0"/>
        <charset val="1"/>
      </rPr>
      <t xml:space="preserve">i</t>
    </r>
  </si>
  <si>
    <t xml:space="preserve">1/5</t>
  </si>
  <si>
    <t xml:space="preserve">表面硬さ</t>
  </si>
  <si>
    <r>
      <rPr>
        <sz val="9"/>
        <rFont val="Yu Gothic"/>
        <family val="0"/>
        <charset val="1"/>
      </rPr>
      <t xml:space="preserve">HRC 58</t>
    </r>
    <r>
      <rPr>
        <sz val="9"/>
        <rFont val="Noto Sans CJK SC"/>
        <family val="2"/>
      </rPr>
      <t xml:space="preserve">〜</t>
    </r>
    <r>
      <rPr>
        <sz val="9"/>
        <rFont val="Yu Gothic"/>
        <family val="0"/>
        <charset val="1"/>
      </rPr>
      <t xml:space="preserve">62</t>
    </r>
  </si>
  <si>
    <r>
      <rPr>
        <sz val="9"/>
        <rFont val="Noto Sans CJK SC"/>
        <family val="2"/>
      </rPr>
      <t xml:space="preserve">許容トルク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出力</t>
    </r>
    <r>
      <rPr>
        <sz val="9"/>
        <rFont val="Yu Gothic"/>
        <family val="0"/>
        <charset val="1"/>
      </rPr>
      <t xml:space="preserve">)</t>
    </r>
  </si>
  <si>
    <t xml:space="preserve">500 N·m</t>
  </si>
  <si>
    <t xml:space="preserve">硬化層深さ</t>
  </si>
  <si>
    <r>
      <rPr>
        <sz val="9"/>
        <rFont val="Yu Gothic"/>
        <family val="0"/>
        <charset val="1"/>
      </rPr>
      <t xml:space="preserve">0.8</t>
    </r>
    <r>
      <rPr>
        <sz val="9"/>
        <rFont val="Noto Sans CJK SC"/>
        <family val="2"/>
      </rPr>
      <t xml:space="preserve">〜</t>
    </r>
    <r>
      <rPr>
        <sz val="9"/>
        <rFont val="Yu Gothic"/>
        <family val="0"/>
        <charset val="1"/>
      </rPr>
      <t xml:space="preserve">1.2 mm</t>
    </r>
  </si>
  <si>
    <t xml:space="preserve">入力回転数</t>
  </si>
  <si>
    <t xml:space="preserve">1500 min⁻¹</t>
  </si>
  <si>
    <t xml:space="preserve">歯面仕上げ</t>
  </si>
  <si>
    <r>
      <rPr>
        <sz val="9"/>
        <rFont val="Noto Sans CJK SC"/>
        <family val="2"/>
      </rPr>
      <t xml:space="preserve">研削 </t>
    </r>
    <r>
      <rPr>
        <sz val="9"/>
        <rFont val="Yu Gothic"/>
        <family val="0"/>
        <charset val="1"/>
      </rPr>
      <t xml:space="preserve">Ra1.6</t>
    </r>
  </si>
  <si>
    <t xml:space="preserve">ケース外形幅</t>
  </si>
  <si>
    <r>
      <rPr>
        <sz val="9"/>
        <rFont val="Noto Sans CJK SC"/>
        <family val="2"/>
      </rPr>
      <t xml:space="preserve">約</t>
    </r>
    <r>
      <rPr>
        <sz val="9"/>
        <rFont val="Yu Gothic"/>
        <family val="0"/>
        <charset val="1"/>
      </rPr>
      <t xml:space="preserve">400 mm  </t>
    </r>
    <r>
      <rPr>
        <sz val="9"/>
        <rFont val="Noto Sans CJK SC"/>
        <family val="2"/>
      </rPr>
      <t xml:space="preserve">注</t>
    </r>
    <r>
      <rPr>
        <sz val="9"/>
        <rFont val="Yu Gothic"/>
        <family val="0"/>
        <charset val="1"/>
      </rPr>
      <t xml:space="preserve">2)</t>
    </r>
  </si>
  <si>
    <t xml:space="preserve">軸穴公差</t>
  </si>
  <si>
    <t xml:space="preserve">H7</t>
  </si>
  <si>
    <t xml:space="preserve">潤滑</t>
  </si>
  <si>
    <r>
      <rPr>
        <sz val="9"/>
        <rFont val="Noto Sans CJK SC"/>
        <family val="2"/>
      </rPr>
      <t xml:space="preserve">油浴 </t>
    </r>
    <r>
      <rPr>
        <sz val="9"/>
        <rFont val="Yu Gothic"/>
        <family val="0"/>
        <charset val="1"/>
      </rPr>
      <t xml:space="preserve">VG220</t>
    </r>
  </si>
  <si>
    <t xml:space="preserve">注記</t>
  </si>
  <si>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1) </t>
    </r>
    <r>
      <rPr>
        <sz val="8.5"/>
        <rFont val="Noto Sans CJK SC"/>
        <family val="2"/>
      </rPr>
      <t xml:space="preserve">歯元すみ肉部（</t>
    </r>
    <r>
      <rPr>
        <sz val="8.5"/>
        <rFont val="Yu Gothic"/>
        <family val="0"/>
        <charset val="1"/>
      </rPr>
      <t xml:space="preserve">ρf</t>
    </r>
    <r>
      <rPr>
        <sz val="8.5"/>
        <rFont val="Noto Sans CJK SC"/>
        <family val="2"/>
      </rPr>
      <t xml:space="preserve">）は曲げ応力集中部。形状・寸法を厳守し、きず・打痕を与えないこと。</t>
    </r>
  </si>
  <si>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2) </t>
    </r>
    <r>
      <rPr>
        <sz val="8.5"/>
        <rFont val="Noto Sans CJK SC"/>
        <family val="2"/>
      </rPr>
      <t xml:space="preserve">トルク条件を変更する場合、モジュール・軸間距離・ケース外形・歯元強度への影響を再評価のこと。</t>
    </r>
  </si>
  <si>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3) </t>
    </r>
    <r>
      <rPr>
        <sz val="8.5"/>
        <rFont val="Noto Sans CJK SC"/>
        <family val="2"/>
      </rPr>
      <t xml:space="preserve">歯元曲げ強さ・歯面強さは強度計算書 </t>
    </r>
    <r>
      <rPr>
        <sz val="8.5"/>
        <rFont val="Yu Gothic"/>
        <family val="0"/>
        <charset val="1"/>
      </rPr>
      <t xml:space="preserve">CALC-RG50-021 </t>
    </r>
    <r>
      <rPr>
        <sz val="8.5"/>
        <rFont val="Noto Sans CJK SC"/>
        <family val="2"/>
      </rPr>
      <t xml:space="preserve">による。</t>
    </r>
  </si>
  <si>
    <r>
      <rPr>
        <sz val="8.5"/>
        <rFont val="Noto Sans CJK SC"/>
        <family val="2"/>
      </rPr>
      <t xml:space="preserve">注</t>
    </r>
    <r>
      <rPr>
        <sz val="8.5"/>
        <rFont val="Yu Gothic"/>
        <family val="0"/>
        <charset val="1"/>
      </rPr>
      <t xml:space="preserve">4) </t>
    </r>
    <r>
      <rPr>
        <sz val="8.5"/>
        <rFont val="Noto Sans CJK SC"/>
        <family val="2"/>
      </rPr>
      <t xml:space="preserve">本諸元は現行 </t>
    </r>
    <r>
      <rPr>
        <sz val="8.5"/>
        <rFont val="Yu Gothic"/>
        <family val="0"/>
        <charset val="1"/>
      </rPr>
      <t xml:space="preserve">RG-50</t>
    </r>
    <r>
      <rPr>
        <sz val="8.5"/>
        <rFont val="Noto Sans CJK SC"/>
        <family val="2"/>
      </rPr>
      <t xml:space="preserve">（初版）。設計変更は </t>
    </r>
    <r>
      <rPr>
        <sz val="8.5"/>
        <rFont val="Yu Gothic"/>
        <family val="0"/>
        <charset val="1"/>
      </rPr>
      <t xml:space="preserve">ECR </t>
    </r>
    <r>
      <rPr>
        <sz val="8.5"/>
        <rFont val="Noto Sans CJK SC"/>
        <family val="2"/>
      </rPr>
      <t xml:space="preserve">に基づき改訂する。</t>
    </r>
  </si>
  <si>
    <r>
      <rPr>
        <sz val="8"/>
        <rFont val="Noto Sans CJK SC"/>
        <family val="2"/>
      </rPr>
      <t xml:space="preserve">様式 </t>
    </r>
    <r>
      <rPr>
        <sz val="8"/>
        <rFont val="Yu Gothic"/>
        <family val="0"/>
        <charset val="1"/>
      </rPr>
      <t xml:space="preserve">EGL-D-031  </t>
    </r>
    <r>
      <rPr>
        <sz val="8"/>
        <rFont val="Noto Sans CJK SC"/>
        <family val="2"/>
      </rPr>
      <t xml:space="preserve">（</t>
    </r>
    <r>
      <rPr>
        <sz val="8"/>
        <rFont val="Yu Gothic"/>
        <family val="0"/>
        <charset val="1"/>
      </rPr>
      <t xml:space="preserve">A4</t>
    </r>
    <r>
      <rPr>
        <sz val="8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</si>
</sst>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Yu Gothic"/>
      <family val="0"/>
      <charset val="1"/>
    </font>
    <font>
      <b val="true"/>
      <sz val="15"/>
      <name val="Noto Sans CJK SC"/>
      <family val="2"/>
    </font>
    <font>
      <b val="true"/>
      <sz val="13"/>
      <name val="Noto Sans CJK SC"/>
      <family val="2"/>
    </font>
    <font>
      <sz val="8"/>
      <color rgb="FF000000"/>
      <name val="Yu Gothic"/>
      <family val="0"/>
      <charset val="1"/>
    </font>
    <font>
      <b val="true"/>
      <sz val="9"/>
      <name val="Noto Sans CJK SC"/>
      <family val="2"/>
    </font>
    <font>
      <sz val="9"/>
      <name val="Yu Gothic"/>
      <family val="0"/>
      <charset val="1"/>
    </font>
    <font>
      <sz val="9"/>
      <name val="Noto Sans CJK SC"/>
      <family val="2"/>
    </font>
    <font>
      <b val="true"/>
      <sz val="9.5"/>
      <name val="Noto Sans CJK SC"/>
      <family val="2"/>
    </font>
    <font>
      <sz val="8"/>
      <name val="Yu Gothic"/>
      <family val="0"/>
      <charset val="1"/>
    </font>
    <font>
      <b val="true"/>
      <sz val="9"/>
      <name val="Yu Gothic"/>
      <family val="0"/>
      <charset val="1"/>
    </font>
    <font>
      <sz val="8.5"/>
      <name val="Noto Sans CJK SC"/>
      <family val="2"/>
    </font>
    <font>
      <sz val="8"/>
      <name val="Noto Sans CJK SC"/>
      <family val="2"/>
    </font>
    <font>
      <sz val="8.5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1"/>
    <col collapsed="false" customWidth="true" hidden="false" outlineLevel="0" max="5" min="3" style="0" width="11"/>
    <col collapsed="false" customWidth="true" hidden="false" outlineLevel="0" max="6" min="6" style="0" width="6"/>
    <col collapsed="false" customWidth="true" hidden="false" outlineLevel="0" max="7" min="7" style="0" width="2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3"/>
  </cols>
  <sheetData>
    <row r="1" customFormat="false" ht="6" hidden="false" customHeight="true" outlineLevel="0" collapsed="false"/>
    <row r="2" customFormat="false" ht="23.1" hidden="false" customHeight="false" outlineLevel="0" collapsed="false">
      <c r="B2" s="1" t="s">
        <v>0</v>
      </c>
      <c r="C2" s="1"/>
      <c r="D2" s="1"/>
      <c r="E2" s="1"/>
      <c r="H2" s="2" t="s">
        <v>1</v>
      </c>
      <c r="I2" s="2"/>
      <c r="J2" s="2"/>
    </row>
    <row r="3" customFormat="false" ht="15" hidden="false" customHeight="false" outlineLevel="0" collapsed="false">
      <c r="B3" s="3" t="s">
        <v>2</v>
      </c>
      <c r="C3" s="3"/>
      <c r="D3" s="3"/>
      <c r="E3" s="3"/>
    </row>
    <row r="4" customFormat="false" ht="3.75" hidden="false" customHeight="true" outlineLevel="0" collapsed="false"/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H5" s="4" t="s">
        <v>5</v>
      </c>
      <c r="I5" s="5" t="s">
        <v>6</v>
      </c>
      <c r="J5" s="5"/>
    </row>
    <row r="6" customFormat="false" ht="15" hidden="false" customHeight="false" outlineLevel="0" collapsed="false">
      <c r="B6" s="4" t="s">
        <v>7</v>
      </c>
      <c r="C6" s="6" t="s">
        <v>8</v>
      </c>
      <c r="D6" s="6"/>
      <c r="E6" s="6"/>
      <c r="H6" s="4" t="s">
        <v>9</v>
      </c>
      <c r="I6" s="5" t="s">
        <v>10</v>
      </c>
      <c r="J6" s="5"/>
    </row>
    <row r="7" customFormat="false" ht="15" hidden="false" customHeight="false" outlineLevel="0" collapsed="false">
      <c r="B7" s="4" t="s">
        <v>11</v>
      </c>
      <c r="C7" s="6" t="s">
        <v>12</v>
      </c>
      <c r="D7" s="6"/>
      <c r="E7" s="6"/>
      <c r="H7" s="4" t="s">
        <v>13</v>
      </c>
      <c r="I7" s="6" t="s">
        <v>14</v>
      </c>
      <c r="J7" s="6"/>
    </row>
    <row r="8" customFormat="false" ht="15" hidden="false" customHeight="false" outlineLevel="0" collapsed="false">
      <c r="B8" s="4" t="s">
        <v>15</v>
      </c>
      <c r="C8" s="5" t="s">
        <v>16</v>
      </c>
      <c r="D8" s="5"/>
      <c r="E8" s="5"/>
      <c r="H8" s="4" t="s">
        <v>17</v>
      </c>
      <c r="I8" s="5" t="s">
        <v>18</v>
      </c>
      <c r="J8" s="5"/>
    </row>
    <row r="10" customFormat="false" ht="15" hidden="false" customHeight="false" outlineLevel="0" collapsed="false">
      <c r="B10" s="7" t="s">
        <v>19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8" t="s">
        <v>20</v>
      </c>
      <c r="C11" s="8" t="s">
        <v>21</v>
      </c>
      <c r="D11" s="8" t="s">
        <v>22</v>
      </c>
      <c r="E11" s="8" t="s">
        <v>23</v>
      </c>
      <c r="F11" s="8" t="s">
        <v>24</v>
      </c>
      <c r="H11" s="8" t="s">
        <v>25</v>
      </c>
      <c r="I11" s="8"/>
      <c r="J11" s="8"/>
    </row>
    <row r="12" customFormat="false" ht="15" hidden="false" customHeight="false" outlineLevel="0" collapsed="false">
      <c r="B12" s="9" t="s">
        <v>26</v>
      </c>
      <c r="C12" s="10" t="s">
        <v>27</v>
      </c>
      <c r="D12" s="11" t="n">
        <v>3</v>
      </c>
      <c r="E12" s="11"/>
      <c r="F12" s="10" t="s">
        <v>28</v>
      </c>
      <c r="H12" s="12" t="s">
        <v>29</v>
      </c>
      <c r="I12" s="12"/>
      <c r="J12" s="12"/>
    </row>
    <row r="13" customFormat="false" ht="15" hidden="false" customHeight="false" outlineLevel="0" collapsed="false">
      <c r="B13" s="13" t="s">
        <v>30</v>
      </c>
      <c r="C13" s="14" t="s">
        <v>31</v>
      </c>
      <c r="D13" s="15" t="n">
        <v>20</v>
      </c>
      <c r="E13" s="15"/>
      <c r="F13" s="16" t="s">
        <v>32</v>
      </c>
      <c r="H13" s="17" t="s">
        <v>33</v>
      </c>
      <c r="I13" s="17"/>
      <c r="J13" s="17"/>
    </row>
    <row r="14" customFormat="false" ht="15" hidden="false" customHeight="false" outlineLevel="0" collapsed="false">
      <c r="B14" s="9" t="s">
        <v>34</v>
      </c>
      <c r="C14" s="10" t="s">
        <v>35</v>
      </c>
      <c r="D14" s="11" t="n">
        <v>20</v>
      </c>
      <c r="E14" s="11" t="n">
        <v>100</v>
      </c>
      <c r="F14" s="10"/>
      <c r="H14" s="18" t="s">
        <v>36</v>
      </c>
      <c r="I14" s="18"/>
      <c r="J14" s="18"/>
    </row>
    <row r="15" customFormat="false" ht="15" hidden="false" customHeight="false" outlineLevel="0" collapsed="false">
      <c r="B15" s="19" t="s">
        <v>37</v>
      </c>
      <c r="C15" s="14" t="s">
        <v>38</v>
      </c>
      <c r="D15" s="20" t="n">
        <f aca="false">D12*D14</f>
        <v>60</v>
      </c>
      <c r="E15" s="20" t="n">
        <f aca="false">D12*E14</f>
        <v>300</v>
      </c>
      <c r="F15" s="14" t="s">
        <v>28</v>
      </c>
      <c r="H15" s="21" t="s">
        <v>39</v>
      </c>
      <c r="I15" s="21"/>
      <c r="J15" s="21"/>
    </row>
    <row r="16" customFormat="false" ht="15" hidden="false" customHeight="false" outlineLevel="0" collapsed="false">
      <c r="B16" s="6" t="s">
        <v>40</v>
      </c>
      <c r="C16" s="10" t="s">
        <v>41</v>
      </c>
      <c r="D16" s="22" t="n">
        <f aca="false">D15*COS(RADIANS(D13))</f>
        <v>56.3815572471545</v>
      </c>
      <c r="E16" s="22" t="n">
        <f aca="false">E15*COS(RADIANS(D13))</f>
        <v>281.907786235773</v>
      </c>
      <c r="F16" s="10" t="s">
        <v>28</v>
      </c>
      <c r="H16" s="18" t="s">
        <v>42</v>
      </c>
      <c r="I16" s="18"/>
      <c r="J16" s="18"/>
    </row>
    <row r="17" customFormat="false" ht="15" hidden="false" customHeight="false" outlineLevel="0" collapsed="false">
      <c r="B17" s="19" t="s">
        <v>43</v>
      </c>
      <c r="C17" s="14" t="s">
        <v>44</v>
      </c>
      <c r="D17" s="20" t="n">
        <f aca="false">D15+2*D12</f>
        <v>66</v>
      </c>
      <c r="E17" s="20" t="n">
        <f aca="false">E15+2*D12</f>
        <v>306</v>
      </c>
      <c r="F17" s="14" t="s">
        <v>28</v>
      </c>
      <c r="H17" s="21" t="s">
        <v>45</v>
      </c>
      <c r="I17" s="21"/>
      <c r="J17" s="21"/>
    </row>
    <row r="18" customFormat="false" ht="15" hidden="false" customHeight="false" outlineLevel="0" collapsed="false">
      <c r="B18" s="6" t="s">
        <v>46</v>
      </c>
      <c r="C18" s="10" t="s">
        <v>47</v>
      </c>
      <c r="D18" s="22" t="n">
        <f aca="false">D15-2.5*D12</f>
        <v>52.5</v>
      </c>
      <c r="E18" s="22" t="n">
        <f aca="false">E15-2.5*D12</f>
        <v>292.5</v>
      </c>
      <c r="F18" s="10" t="s">
        <v>28</v>
      </c>
      <c r="H18" s="18" t="s">
        <v>48</v>
      </c>
      <c r="I18" s="18"/>
      <c r="J18" s="18"/>
    </row>
    <row r="19" customFormat="false" ht="15" hidden="false" customHeight="false" outlineLevel="0" collapsed="false">
      <c r="B19" s="19" t="s">
        <v>49</v>
      </c>
      <c r="C19" s="14" t="s">
        <v>50</v>
      </c>
      <c r="D19" s="20" t="n">
        <f aca="false">2.25*D12</f>
        <v>6.75</v>
      </c>
      <c r="E19" s="20" t="n">
        <f aca="false">2.25*D12</f>
        <v>6.75</v>
      </c>
      <c r="F19" s="14" t="s">
        <v>28</v>
      </c>
      <c r="H19" s="21" t="s">
        <v>51</v>
      </c>
      <c r="I19" s="21"/>
      <c r="J19" s="21"/>
    </row>
    <row r="20" customFormat="false" ht="15" hidden="false" customHeight="false" outlineLevel="0" collapsed="false">
      <c r="B20" s="6" t="s">
        <v>52</v>
      </c>
      <c r="C20" s="10" t="s">
        <v>53</v>
      </c>
      <c r="D20" s="23" t="n">
        <v>3</v>
      </c>
      <c r="E20" s="23" t="n">
        <v>12</v>
      </c>
      <c r="F20" s="24" t="s">
        <v>54</v>
      </c>
      <c r="H20" s="12" t="s">
        <v>55</v>
      </c>
      <c r="I20" s="12"/>
      <c r="J20" s="12"/>
    </row>
    <row r="21" customFormat="false" ht="15" hidden="false" customHeight="false" outlineLevel="0" collapsed="false">
      <c r="B21" s="19" t="s">
        <v>56</v>
      </c>
      <c r="C21" s="14" t="s">
        <v>57</v>
      </c>
      <c r="D21" s="20" t="n">
        <f aca="false">D12*COS(RADIANS(D13))*(PI()*(D20-0.5)+D14*(TAN(RADIANS(D13))-RADIANS(D13)))</f>
        <v>22.9813181279514</v>
      </c>
      <c r="E21" s="20" t="n">
        <f aca="false">D12*COS(RADIANS(D13))*(PI()*(E20-0.5)+E14*(TAN(RADIANS(D13))-RADIANS(D13)))</f>
        <v>106.050196337476</v>
      </c>
      <c r="F21" s="14" t="s">
        <v>28</v>
      </c>
      <c r="H21" s="17" t="s">
        <v>58</v>
      </c>
      <c r="I21" s="17"/>
      <c r="J21" s="17"/>
    </row>
    <row r="22" customFormat="false" ht="15" hidden="false" customHeight="false" outlineLevel="0" collapsed="false">
      <c r="B22" s="6" t="s">
        <v>59</v>
      </c>
      <c r="C22" s="10" t="s">
        <v>60</v>
      </c>
      <c r="D22" s="22" t="n">
        <f aca="false">0.38*D12</f>
        <v>1.14</v>
      </c>
      <c r="E22" s="22" t="n">
        <f aca="false">0.38*D12</f>
        <v>1.14</v>
      </c>
      <c r="F22" s="10" t="s">
        <v>28</v>
      </c>
      <c r="H22" s="18" t="s">
        <v>61</v>
      </c>
      <c r="I22" s="18"/>
      <c r="J22" s="18"/>
    </row>
    <row r="23" customFormat="false" ht="15" hidden="false" customHeight="false" outlineLevel="0" collapsed="false">
      <c r="B23" s="13" t="s">
        <v>62</v>
      </c>
      <c r="C23" s="14" t="s">
        <v>63</v>
      </c>
      <c r="D23" s="25" t="n">
        <f aca="false">(SQRT(((D15+2*D12)/2)^2-(D15*COS(RADIANS(D13))/2)^2)+SQRT(((E15+2*D12)/2)^2-(E15*COS(RADIANS(D13))/2)^2)-((D15+E15)/2)*SIN(RADIANS(D13)))/(PI()*D12*COS(RADIANS(D13)))</f>
        <v>1.70467429951653</v>
      </c>
      <c r="E23" s="25"/>
      <c r="F23" s="14"/>
      <c r="H23" s="21" t="s">
        <v>64</v>
      </c>
      <c r="I23" s="21"/>
      <c r="J23" s="21"/>
    </row>
    <row r="24" customFormat="false" ht="15" hidden="false" customHeight="false" outlineLevel="0" collapsed="false">
      <c r="B24" s="9" t="s">
        <v>65</v>
      </c>
      <c r="C24" s="10" t="s">
        <v>66</v>
      </c>
      <c r="D24" s="26" t="n">
        <f aca="false">(D15+E15)/2</f>
        <v>180</v>
      </c>
      <c r="E24" s="26"/>
      <c r="F24" s="10" t="s">
        <v>28</v>
      </c>
      <c r="H24" s="18" t="s">
        <v>67</v>
      </c>
      <c r="I24" s="18"/>
      <c r="J24" s="18"/>
    </row>
    <row r="25" customFormat="false" ht="15" hidden="false" customHeight="false" outlineLevel="0" collapsed="false">
      <c r="B25" s="19" t="s">
        <v>68</v>
      </c>
      <c r="C25" s="14" t="s">
        <v>69</v>
      </c>
      <c r="D25" s="27" t="s">
        <v>70</v>
      </c>
      <c r="E25" s="27"/>
      <c r="F25" s="14" t="s">
        <v>28</v>
      </c>
      <c r="H25" s="17" t="s">
        <v>71</v>
      </c>
      <c r="I25" s="17"/>
      <c r="J25" s="17"/>
    </row>
    <row r="26" customFormat="false" ht="15" hidden="false" customHeight="false" outlineLevel="0" collapsed="false">
      <c r="B26" s="6" t="s">
        <v>72</v>
      </c>
      <c r="C26" s="10" t="s">
        <v>73</v>
      </c>
      <c r="D26" s="23" t="n">
        <v>30</v>
      </c>
      <c r="E26" s="23" t="n">
        <v>30</v>
      </c>
      <c r="F26" s="10" t="s">
        <v>28</v>
      </c>
      <c r="H26" s="12"/>
      <c r="I26" s="12"/>
      <c r="J26" s="12"/>
    </row>
    <row r="27" customFormat="false" ht="15" hidden="false" customHeight="false" outlineLevel="0" collapsed="false">
      <c r="B27" s="19" t="s">
        <v>74</v>
      </c>
      <c r="C27" s="14" t="s">
        <v>75</v>
      </c>
      <c r="D27" s="27" t="s">
        <v>76</v>
      </c>
      <c r="E27" s="27"/>
      <c r="F27" s="14"/>
      <c r="H27" s="17"/>
      <c r="I27" s="17"/>
      <c r="J27" s="17"/>
    </row>
    <row r="29" customFormat="false" ht="15" hidden="false" customHeight="false" outlineLevel="0" collapsed="false">
      <c r="B29" s="7" t="s">
        <v>77</v>
      </c>
      <c r="C29" s="7"/>
      <c r="D29" s="7"/>
      <c r="E29" s="7"/>
      <c r="F29" s="7"/>
      <c r="H29" s="7" t="s">
        <v>78</v>
      </c>
      <c r="I29" s="7"/>
      <c r="J29" s="7"/>
    </row>
    <row r="30" customFormat="false" ht="15" hidden="false" customHeight="false" outlineLevel="0" collapsed="false">
      <c r="B30" s="19" t="s">
        <v>79</v>
      </c>
      <c r="C30" s="5" t="s">
        <v>80</v>
      </c>
      <c r="D30" s="5"/>
      <c r="E30" s="5"/>
      <c r="F30" s="5"/>
      <c r="H30" s="19" t="s">
        <v>81</v>
      </c>
      <c r="I30" s="6" t="s">
        <v>82</v>
      </c>
      <c r="J30" s="6"/>
    </row>
    <row r="31" customFormat="false" ht="15" hidden="false" customHeight="false" outlineLevel="0" collapsed="false">
      <c r="B31" s="19" t="s">
        <v>83</v>
      </c>
      <c r="C31" s="6" t="s">
        <v>84</v>
      </c>
      <c r="D31" s="6"/>
      <c r="E31" s="6"/>
      <c r="F31" s="6"/>
      <c r="H31" s="19" t="s">
        <v>85</v>
      </c>
      <c r="I31" s="5" t="s">
        <v>86</v>
      </c>
      <c r="J31" s="5"/>
    </row>
    <row r="32" customFormat="false" ht="15" hidden="false" customHeight="false" outlineLevel="0" collapsed="false">
      <c r="B32" s="19" t="s">
        <v>87</v>
      </c>
      <c r="C32" s="5" t="s">
        <v>88</v>
      </c>
      <c r="D32" s="5"/>
      <c r="E32" s="5"/>
      <c r="F32" s="5"/>
      <c r="H32" s="19" t="s">
        <v>89</v>
      </c>
      <c r="I32" s="5" t="s">
        <v>90</v>
      </c>
      <c r="J32" s="5"/>
    </row>
    <row r="33" customFormat="false" ht="15" hidden="false" customHeight="false" outlineLevel="0" collapsed="false">
      <c r="B33" s="19" t="s">
        <v>91</v>
      </c>
      <c r="C33" s="5" t="s">
        <v>92</v>
      </c>
      <c r="D33" s="5"/>
      <c r="E33" s="5"/>
      <c r="F33" s="5"/>
      <c r="H33" s="19" t="s">
        <v>93</v>
      </c>
      <c r="I33" s="5" t="s">
        <v>94</v>
      </c>
      <c r="J33" s="5"/>
    </row>
    <row r="34" customFormat="false" ht="15" hidden="false" customHeight="false" outlineLevel="0" collapsed="false">
      <c r="B34" s="19" t="s">
        <v>95</v>
      </c>
      <c r="C34" s="6" t="s">
        <v>96</v>
      </c>
      <c r="D34" s="6"/>
      <c r="E34" s="6"/>
      <c r="F34" s="6"/>
      <c r="H34" s="19" t="s">
        <v>97</v>
      </c>
      <c r="I34" s="6" t="s">
        <v>98</v>
      </c>
      <c r="J34" s="6"/>
    </row>
    <row r="35" customFormat="false" ht="15" hidden="false" customHeight="false" outlineLevel="0" collapsed="false">
      <c r="B35" s="19" t="s">
        <v>99</v>
      </c>
      <c r="C35" s="5" t="s">
        <v>100</v>
      </c>
      <c r="D35" s="5"/>
      <c r="E35" s="5"/>
      <c r="F35" s="5"/>
      <c r="H35" s="19" t="s">
        <v>101</v>
      </c>
      <c r="I35" s="6" t="s">
        <v>102</v>
      </c>
      <c r="J35" s="6"/>
    </row>
    <row r="37" customFormat="false" ht="15" hidden="false" customHeight="false" outlineLevel="0" collapsed="false">
      <c r="B37" s="7" t="s">
        <v>103</v>
      </c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B38" s="28" t="s">
        <v>104</v>
      </c>
      <c r="C38" s="28"/>
      <c r="D38" s="28"/>
      <c r="E38" s="28"/>
      <c r="F38" s="28"/>
      <c r="G38" s="28"/>
      <c r="H38" s="28"/>
      <c r="I38" s="28"/>
      <c r="J38" s="28"/>
    </row>
    <row r="39" customFormat="false" ht="15" hidden="false" customHeight="false" outlineLevel="0" collapsed="false">
      <c r="B39" s="28" t="s">
        <v>105</v>
      </c>
      <c r="C39" s="28"/>
      <c r="D39" s="28"/>
      <c r="E39" s="28"/>
      <c r="F39" s="28"/>
      <c r="G39" s="28"/>
      <c r="H39" s="28"/>
      <c r="I39" s="28"/>
      <c r="J39" s="28"/>
    </row>
    <row r="40" customFormat="false" ht="15" hidden="false" customHeight="false" outlineLevel="0" collapsed="false">
      <c r="B40" s="28" t="s">
        <v>106</v>
      </c>
      <c r="C40" s="28"/>
      <c r="D40" s="28"/>
      <c r="E40" s="28"/>
      <c r="F40" s="28"/>
      <c r="G40" s="28"/>
      <c r="H40" s="28"/>
      <c r="I40" s="28"/>
      <c r="J40" s="28"/>
    </row>
    <row r="41" customFormat="false" ht="15" hidden="false" customHeight="false" outlineLevel="0" collapsed="false">
      <c r="B41" s="28" t="s">
        <v>107</v>
      </c>
      <c r="C41" s="28"/>
      <c r="D41" s="28"/>
      <c r="E41" s="28"/>
      <c r="F41" s="28"/>
      <c r="G41" s="28"/>
      <c r="H41" s="28"/>
      <c r="I41" s="28"/>
      <c r="J41" s="28"/>
    </row>
    <row r="43" customFormat="false" ht="15" hidden="false" customHeight="false" outlineLevel="0" collapsed="false">
      <c r="B43" s="29" t="s">
        <v>108</v>
      </c>
      <c r="C43" s="29"/>
      <c r="D43" s="29"/>
      <c r="E43" s="29"/>
      <c r="F43" s="29"/>
      <c r="G43" s="29"/>
      <c r="H43" s="29"/>
      <c r="I43" s="29"/>
      <c r="J43" s="29"/>
    </row>
  </sheetData>
  <mergeCells count="55">
    <mergeCell ref="B2:E2"/>
    <mergeCell ref="H2:J2"/>
    <mergeCell ref="B3:E3"/>
    <mergeCell ref="C5:E5"/>
    <mergeCell ref="I5:J5"/>
    <mergeCell ref="C6:E6"/>
    <mergeCell ref="I6:J6"/>
    <mergeCell ref="C7:E7"/>
    <mergeCell ref="I7:J7"/>
    <mergeCell ref="C8:E8"/>
    <mergeCell ref="I8:J8"/>
    <mergeCell ref="B10:J10"/>
    <mergeCell ref="H11:J11"/>
    <mergeCell ref="D12:E12"/>
    <mergeCell ref="H12:J12"/>
    <mergeCell ref="D13:E13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D23:E23"/>
    <mergeCell ref="H23:J23"/>
    <mergeCell ref="D24:E24"/>
    <mergeCell ref="H24:J24"/>
    <mergeCell ref="D25:E25"/>
    <mergeCell ref="H25:J25"/>
    <mergeCell ref="H26:J26"/>
    <mergeCell ref="D27:E27"/>
    <mergeCell ref="H27:J27"/>
    <mergeCell ref="B29:F29"/>
    <mergeCell ref="H29:J29"/>
    <mergeCell ref="C30:F30"/>
    <mergeCell ref="I30:J30"/>
    <mergeCell ref="C31:F31"/>
    <mergeCell ref="I31:J31"/>
    <mergeCell ref="C32:F32"/>
    <mergeCell ref="I32:J32"/>
    <mergeCell ref="C33:F33"/>
    <mergeCell ref="I33:J33"/>
    <mergeCell ref="C34:F34"/>
    <mergeCell ref="I34:J34"/>
    <mergeCell ref="C35:F35"/>
    <mergeCell ref="I35:J35"/>
    <mergeCell ref="B37:J37"/>
    <mergeCell ref="B38:J38"/>
    <mergeCell ref="B39:J39"/>
    <mergeCell ref="B40:J40"/>
    <mergeCell ref="B41:J41"/>
    <mergeCell ref="B43:J43"/>
  </mergeCells>
  <printOptions headings="false" gridLines="false" gridLinesSet="true" horizontalCentered="false" verticalCentered="false"/>
  <pageMargins left="0.35" right="0.3" top="0.4" bottom="0.3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2026-06-21T10:16:18Z</dcterms:created>
  <dc:creator>openpyxl</dc:creator>
  <dc:description/>
  <dc:language>en-US</dc:language>
  <cp:lastModifiedBy/>
  <dcterms:modified xsi:type="dcterms:W3CDTF">2026-06-21T10:16:18Z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